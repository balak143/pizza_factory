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krishna.billa\Desktop\"/>
    </mc:Choice>
  </mc:AlternateContent>
  <xr:revisionPtr revIDLastSave="0" documentId="13_ncr:1_{B99347AC-E17F-423B-9449-E946BE2060ED}" xr6:coauthVersionLast="43" xr6:coauthVersionMax="43" xr10:uidLastSave="{00000000-0000-0000-0000-000000000000}"/>
  <bookViews>
    <workbookView xWindow="990" yWindow="-120" windowWidth="27930" windowHeight="16440" xr2:uid="{5BDD01EB-6440-401E-A6DD-933EDB999266}"/>
  </bookViews>
  <sheets>
    <sheet name="Price Deriv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9" i="1" l="1"/>
  <c r="D40" i="1"/>
  <c r="D41" i="1"/>
  <c r="D42" i="1"/>
  <c r="D44" i="1"/>
  <c r="D45" i="1"/>
  <c r="D46" i="1"/>
  <c r="D35" i="1"/>
  <c r="D36" i="1"/>
  <c r="D37" i="1"/>
  <c r="D38" i="1"/>
  <c r="D34" i="1"/>
  <c r="D33" i="1"/>
  <c r="H21" i="1"/>
  <c r="H22" i="1"/>
  <c r="F22" i="1"/>
  <c r="E22" i="1"/>
  <c r="J22" i="1"/>
  <c r="L22" i="1" s="1"/>
  <c r="J19" i="1"/>
  <c r="L19" i="1" s="1"/>
  <c r="J20" i="1"/>
  <c r="L20" i="1" s="1"/>
  <c r="J21" i="1"/>
  <c r="K21" i="1" s="1"/>
  <c r="J23" i="1"/>
  <c r="K23" i="1" s="1"/>
  <c r="J24" i="1"/>
  <c r="L24" i="1" s="1"/>
  <c r="J25" i="1"/>
  <c r="K25" i="1" s="1"/>
  <c r="J26" i="1"/>
  <c r="K26" i="1" s="1"/>
  <c r="J27" i="1"/>
  <c r="L27" i="1" s="1"/>
  <c r="J18" i="1"/>
  <c r="L18" i="1" s="1"/>
  <c r="E23" i="1"/>
  <c r="G23" i="1"/>
  <c r="I23" i="1" s="1"/>
  <c r="G19" i="1"/>
  <c r="I19" i="1" s="1"/>
  <c r="G20" i="1"/>
  <c r="H20" i="1" s="1"/>
  <c r="G21" i="1"/>
  <c r="I21" i="1" s="1"/>
  <c r="G24" i="1"/>
  <c r="H24" i="1" s="1"/>
  <c r="G25" i="1"/>
  <c r="H25" i="1" s="1"/>
  <c r="G26" i="1"/>
  <c r="I26" i="1" s="1"/>
  <c r="G27" i="1"/>
  <c r="H27" i="1" s="1"/>
  <c r="G18" i="1"/>
  <c r="H18" i="1" s="1"/>
  <c r="D21" i="1"/>
  <c r="F21" i="1" s="1"/>
  <c r="D20" i="1"/>
  <c r="F20" i="1" s="1"/>
  <c r="D24" i="1"/>
  <c r="E24" i="1" s="1"/>
  <c r="D25" i="1"/>
  <c r="F25" i="1" s="1"/>
  <c r="D26" i="1"/>
  <c r="F26" i="1" s="1"/>
  <c r="D27" i="1"/>
  <c r="F27" i="1" s="1"/>
  <c r="D19" i="1"/>
  <c r="E19" i="1" s="1"/>
  <c r="D18" i="1"/>
  <c r="F18" i="1" s="1"/>
  <c r="E7" i="1"/>
  <c r="E8" i="1"/>
  <c r="E11" i="1"/>
  <c r="F7" i="1"/>
  <c r="F8" i="1"/>
  <c r="F10" i="1"/>
  <c r="F11" i="1"/>
  <c r="I8" i="1"/>
  <c r="L7" i="1"/>
  <c r="K7" i="1"/>
  <c r="K11" i="1"/>
  <c r="K12" i="1"/>
  <c r="J8" i="1"/>
  <c r="K8" i="1" s="1"/>
  <c r="J6" i="1"/>
  <c r="L6" i="1" s="1"/>
  <c r="J9" i="1"/>
  <c r="L9" i="1" s="1"/>
  <c r="J10" i="1"/>
  <c r="L10" i="1" s="1"/>
  <c r="J11" i="1"/>
  <c r="L11" i="1" s="1"/>
  <c r="J12" i="1"/>
  <c r="L12" i="1" s="1"/>
  <c r="J5" i="1"/>
  <c r="L5" i="1" s="1"/>
  <c r="H6" i="1"/>
  <c r="H7" i="1"/>
  <c r="G10" i="1"/>
  <c r="H10" i="1" s="1"/>
  <c r="G6" i="1"/>
  <c r="I6" i="1" s="1"/>
  <c r="G7" i="1"/>
  <c r="I7" i="1" s="1"/>
  <c r="G9" i="1"/>
  <c r="H9" i="1" s="1"/>
  <c r="G11" i="1"/>
  <c r="H11" i="1" s="1"/>
  <c r="G12" i="1"/>
  <c r="H12" i="1" s="1"/>
  <c r="G5" i="1"/>
  <c r="I5" i="1" s="1"/>
  <c r="D6" i="1"/>
  <c r="F6" i="1" s="1"/>
  <c r="D9" i="1"/>
  <c r="E9" i="1" s="1"/>
  <c r="D10" i="1"/>
  <c r="E10" i="1" s="1"/>
  <c r="D11" i="1"/>
  <c r="D12" i="1"/>
  <c r="E12" i="1" s="1"/>
  <c r="D5" i="1"/>
  <c r="E5" i="1" s="1"/>
  <c r="H23" i="1" l="1"/>
  <c r="I24" i="1"/>
  <c r="K18" i="1"/>
  <c r="K5" i="1"/>
  <c r="I18" i="1"/>
  <c r="K27" i="1"/>
  <c r="I11" i="1"/>
  <c r="K24" i="1"/>
  <c r="I12" i="1"/>
  <c r="E26" i="1"/>
  <c r="H5" i="1"/>
  <c r="L8" i="1"/>
  <c r="L13" i="1" s="1"/>
  <c r="E25" i="1"/>
  <c r="F24" i="1"/>
  <c r="F19" i="1"/>
  <c r="L23" i="1"/>
  <c r="L26" i="1"/>
  <c r="H19" i="1"/>
  <c r="L25" i="1"/>
  <c r="H26" i="1"/>
  <c r="L21" i="1"/>
  <c r="I25" i="1"/>
  <c r="K22" i="1"/>
  <c r="I10" i="1"/>
  <c r="I9" i="1"/>
  <c r="F9" i="1"/>
  <c r="E21" i="1"/>
  <c r="I20" i="1"/>
  <c r="E20" i="1"/>
  <c r="K20" i="1"/>
  <c r="E6" i="1"/>
  <c r="E13" i="1" s="1"/>
  <c r="K19" i="1"/>
  <c r="F5" i="1"/>
  <c r="E18" i="1"/>
  <c r="J28" i="1"/>
  <c r="F12" i="1"/>
  <c r="E27" i="1"/>
  <c r="G28" i="1"/>
  <c r="I22" i="1"/>
  <c r="I27" i="1"/>
  <c r="F23" i="1"/>
  <c r="D28" i="1"/>
  <c r="K10" i="1"/>
  <c r="J13" i="1"/>
  <c r="K6" i="1"/>
  <c r="K9" i="1"/>
  <c r="K13" i="1"/>
  <c r="H13" i="1"/>
  <c r="G13" i="1"/>
  <c r="D13" i="1"/>
  <c r="H28" i="1" l="1"/>
  <c r="F28" i="1"/>
  <c r="K28" i="1"/>
  <c r="L28" i="1"/>
  <c r="I13" i="1"/>
  <c r="E28" i="1"/>
  <c r="I28" i="1"/>
  <c r="F13" i="1"/>
</calcChain>
</file>

<file path=xl/sharedStrings.xml><?xml version="1.0" encoding="utf-8"?>
<sst xmlns="http://schemas.openxmlformats.org/spreadsheetml/2006/main" count="68" uniqueCount="45">
  <si>
    <t>Sauce</t>
  </si>
  <si>
    <t>Cheese</t>
  </si>
  <si>
    <t>Pepperoni</t>
  </si>
  <si>
    <t>Red Pepper</t>
  </si>
  <si>
    <t>Oregano</t>
  </si>
  <si>
    <t>Garlic</t>
  </si>
  <si>
    <t>Large (2)</t>
  </si>
  <si>
    <t>Corn</t>
  </si>
  <si>
    <t>Medium (1.3)</t>
  </si>
  <si>
    <t>Paneer Tikka</t>
  </si>
  <si>
    <t>Non-Veg Supreme</t>
  </si>
  <si>
    <t>Pepper Barbecue</t>
  </si>
  <si>
    <t>Red meat</t>
  </si>
  <si>
    <t>Chicken</t>
  </si>
  <si>
    <t>Panner Chop</t>
  </si>
  <si>
    <t>Black Olive</t>
  </si>
  <si>
    <t>Capsicum</t>
  </si>
  <si>
    <t>Paneer</t>
  </si>
  <si>
    <t>Mushroom</t>
  </si>
  <si>
    <t>Extra Cheese</t>
  </si>
  <si>
    <t>Fresh Tomato</t>
  </si>
  <si>
    <t>Chicken Tikka</t>
  </si>
  <si>
    <t>Barbeque Chicken</t>
  </si>
  <si>
    <t>Grilled Chicken</t>
  </si>
  <si>
    <t>Cold Drink</t>
  </si>
  <si>
    <t>Mousse Cake</t>
  </si>
  <si>
    <t>Regular</t>
  </si>
  <si>
    <t>Delux Veggie</t>
  </si>
  <si>
    <t>Cheese Corn</t>
  </si>
  <si>
    <t>Medium (2.145)</t>
  </si>
  <si>
    <t>Large (2.7143)</t>
  </si>
  <si>
    <t>INR</t>
  </si>
  <si>
    <t>GM</t>
  </si>
  <si>
    <t>Qty</t>
  </si>
  <si>
    <t>PRICE</t>
  </si>
  <si>
    <t>Medium (1.712)</t>
  </si>
  <si>
    <t>Large (2.24)</t>
  </si>
  <si>
    <t>Medium(1.755)</t>
  </si>
  <si>
    <t>Large(2.383)</t>
  </si>
  <si>
    <t>Medium(1.73)</t>
  </si>
  <si>
    <t>Large(2.39)</t>
  </si>
  <si>
    <t>Toppings</t>
  </si>
  <si>
    <t>Sides</t>
  </si>
  <si>
    <t>Ingredients</t>
  </si>
  <si>
    <t>Ginger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</si>
</sst>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FF"/>
      <name val="Courier New"/>
      <family val="3"/>
    </font>
    <font>
      <b/>
      <sz val="12"/>
      <color rgb="FF008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201D-0B9C-411A-BC80-FB2D6107F1BE}">
  <dimension ref="A2:L46"/>
  <sheetViews>
    <sheetView tabSelected="1" workbookViewId="0">
      <selection activeCell="D30" sqref="D30"/>
    </sheetView>
  </sheetViews>
  <sheetFormatPr defaultRowHeight="15" x14ac:dyDescent="0.25"/>
  <cols>
    <col min="1" max="1" width="20.7109375" bestFit="1" customWidth="1"/>
    <col min="4" max="4" width="8.85546875" customWidth="1"/>
    <col min="5" max="5" width="12.85546875" bestFit="1" customWidth="1"/>
    <col min="6" max="6" width="11.140625" bestFit="1" customWidth="1"/>
    <col min="7" max="7" width="13.7109375" bestFit="1" customWidth="1"/>
    <col min="8" max="8" width="14.42578125" customWidth="1"/>
    <col min="9" max="9" width="13.28515625" bestFit="1" customWidth="1"/>
    <col min="10" max="10" width="15" customWidth="1"/>
    <col min="11" max="11" width="13.5703125" bestFit="1" customWidth="1"/>
  </cols>
  <sheetData>
    <row r="2" spans="1:12" x14ac:dyDescent="0.25">
      <c r="D2" s="5" t="s">
        <v>27</v>
      </c>
      <c r="E2" s="5"/>
      <c r="F2" s="5"/>
      <c r="G2" s="5" t="s">
        <v>28</v>
      </c>
      <c r="H2" s="5"/>
      <c r="I2" s="5"/>
      <c r="J2" s="5" t="s">
        <v>9</v>
      </c>
      <c r="K2" s="5"/>
      <c r="L2" s="5"/>
    </row>
    <row r="3" spans="1:12" x14ac:dyDescent="0.25">
      <c r="A3" s="3" t="s">
        <v>43</v>
      </c>
      <c r="B3" s="3" t="s">
        <v>33</v>
      </c>
      <c r="C3" s="3" t="s">
        <v>34</v>
      </c>
      <c r="D3">
        <v>150</v>
      </c>
      <c r="E3">
        <v>200</v>
      </c>
      <c r="F3">
        <v>325</v>
      </c>
      <c r="G3">
        <v>175</v>
      </c>
      <c r="H3">
        <v>375</v>
      </c>
      <c r="I3">
        <v>475</v>
      </c>
      <c r="J3">
        <v>160</v>
      </c>
      <c r="K3">
        <v>290</v>
      </c>
      <c r="L3">
        <v>340</v>
      </c>
    </row>
    <row r="4" spans="1:12" x14ac:dyDescent="0.25">
      <c r="B4" t="s">
        <v>32</v>
      </c>
      <c r="C4" t="s">
        <v>31</v>
      </c>
      <c r="D4" t="s">
        <v>26</v>
      </c>
      <c r="E4" t="s">
        <v>8</v>
      </c>
      <c r="F4" t="s">
        <v>6</v>
      </c>
      <c r="G4" t="s">
        <v>26</v>
      </c>
      <c r="H4" t="s">
        <v>29</v>
      </c>
      <c r="I4" t="s">
        <v>30</v>
      </c>
      <c r="J4" t="s">
        <v>26</v>
      </c>
      <c r="K4">
        <v>1.8149999999999999</v>
      </c>
      <c r="L4">
        <v>2.125</v>
      </c>
    </row>
    <row r="5" spans="1:12" ht="15.75" x14ac:dyDescent="0.25">
      <c r="A5" t="s">
        <v>0</v>
      </c>
      <c r="B5">
        <v>8</v>
      </c>
      <c r="C5" s="1">
        <v>5</v>
      </c>
      <c r="D5">
        <f>C5*B5</f>
        <v>40</v>
      </c>
      <c r="E5">
        <f>1.338*D5</f>
        <v>53.52</v>
      </c>
      <c r="F5">
        <f>2.168*D5</f>
        <v>86.72</v>
      </c>
      <c r="G5">
        <f>C5*B5</f>
        <v>40</v>
      </c>
      <c r="H5">
        <f>2.145*G5</f>
        <v>85.8</v>
      </c>
      <c r="I5">
        <f>2.7143*G5</f>
        <v>108.572</v>
      </c>
      <c r="J5">
        <f>C5*B5</f>
        <v>40</v>
      </c>
      <c r="K5">
        <f>1.815*J5</f>
        <v>72.599999999999994</v>
      </c>
      <c r="L5">
        <f>2.125*J5</f>
        <v>85</v>
      </c>
    </row>
    <row r="6" spans="1:12" x14ac:dyDescent="0.25">
      <c r="A6" t="s">
        <v>1</v>
      </c>
      <c r="B6">
        <v>10</v>
      </c>
      <c r="C6">
        <v>5</v>
      </c>
      <c r="D6">
        <f t="shared" ref="D6:D12" si="0">C6*B6</f>
        <v>50</v>
      </c>
      <c r="E6">
        <f t="shared" ref="E6:E12" si="1">1.338*D6</f>
        <v>66.900000000000006</v>
      </c>
      <c r="F6">
        <f t="shared" ref="F6:F12" si="2">2.168*D6</f>
        <v>108.4</v>
      </c>
      <c r="G6">
        <f>C6*B6</f>
        <v>50</v>
      </c>
      <c r="H6">
        <f t="shared" ref="H6:H12" si="3">2.145*G6</f>
        <v>107.25</v>
      </c>
      <c r="I6">
        <f t="shared" ref="I6:I12" si="4">2.7143*G6</f>
        <v>135.715</v>
      </c>
      <c r="J6">
        <f t="shared" ref="J6:J12" si="5">C6*B6</f>
        <v>50</v>
      </c>
      <c r="K6">
        <f t="shared" ref="K6:K12" si="6">1.815*J6</f>
        <v>90.75</v>
      </c>
      <c r="L6">
        <f t="shared" ref="L6:L12" si="7">2.125*J6</f>
        <v>106.25</v>
      </c>
    </row>
    <row r="7" spans="1:12" x14ac:dyDescent="0.25">
      <c r="A7" t="s">
        <v>7</v>
      </c>
      <c r="B7">
        <v>5</v>
      </c>
      <c r="C7">
        <v>5</v>
      </c>
      <c r="D7">
        <v>0</v>
      </c>
      <c r="E7">
        <f t="shared" si="1"/>
        <v>0</v>
      </c>
      <c r="F7">
        <f t="shared" si="2"/>
        <v>0</v>
      </c>
      <c r="G7">
        <f>C7*B7</f>
        <v>25</v>
      </c>
      <c r="H7">
        <f t="shared" si="3"/>
        <v>53.625</v>
      </c>
      <c r="I7">
        <f t="shared" si="4"/>
        <v>67.857500000000002</v>
      </c>
      <c r="J7">
        <v>0</v>
      </c>
      <c r="K7">
        <f t="shared" si="6"/>
        <v>0</v>
      </c>
      <c r="L7">
        <f t="shared" si="7"/>
        <v>0</v>
      </c>
    </row>
    <row r="8" spans="1:12" x14ac:dyDescent="0.25">
      <c r="A8" t="s">
        <v>14</v>
      </c>
      <c r="B8" s="3">
        <v>2</v>
      </c>
      <c r="C8" s="3">
        <v>5</v>
      </c>
      <c r="D8" s="3">
        <v>0</v>
      </c>
      <c r="E8">
        <f t="shared" si="1"/>
        <v>0</v>
      </c>
      <c r="F8">
        <f t="shared" si="2"/>
        <v>0</v>
      </c>
      <c r="G8" s="3">
        <v>0</v>
      </c>
      <c r="H8" s="3">
        <v>0</v>
      </c>
      <c r="I8">
        <f t="shared" si="4"/>
        <v>0</v>
      </c>
      <c r="J8" s="4">
        <f t="shared" si="5"/>
        <v>10</v>
      </c>
      <c r="K8">
        <f t="shared" si="6"/>
        <v>18.149999999999999</v>
      </c>
      <c r="L8">
        <f t="shared" si="7"/>
        <v>21.25</v>
      </c>
    </row>
    <row r="9" spans="1:12" x14ac:dyDescent="0.25">
      <c r="A9" t="s">
        <v>2</v>
      </c>
      <c r="B9">
        <v>5</v>
      </c>
      <c r="C9">
        <v>4</v>
      </c>
      <c r="D9">
        <f t="shared" si="0"/>
        <v>20</v>
      </c>
      <c r="E9">
        <f t="shared" si="1"/>
        <v>26.76</v>
      </c>
      <c r="F9">
        <f t="shared" si="2"/>
        <v>43.36</v>
      </c>
      <c r="G9">
        <f t="shared" ref="G9:G12" si="8">C9*B9</f>
        <v>20</v>
      </c>
      <c r="H9">
        <f t="shared" si="3"/>
        <v>42.9</v>
      </c>
      <c r="I9">
        <f t="shared" si="4"/>
        <v>54.286000000000001</v>
      </c>
      <c r="J9">
        <f t="shared" si="5"/>
        <v>20</v>
      </c>
      <c r="K9">
        <f t="shared" si="6"/>
        <v>36.299999999999997</v>
      </c>
      <c r="L9">
        <f t="shared" si="7"/>
        <v>42.5</v>
      </c>
    </row>
    <row r="10" spans="1:12" x14ac:dyDescent="0.25">
      <c r="A10" t="s">
        <v>3</v>
      </c>
      <c r="B10">
        <v>6</v>
      </c>
      <c r="C10">
        <v>4</v>
      </c>
      <c r="D10">
        <f t="shared" si="0"/>
        <v>24</v>
      </c>
      <c r="E10">
        <f t="shared" si="1"/>
        <v>32.112000000000002</v>
      </c>
      <c r="F10">
        <f t="shared" si="2"/>
        <v>52.032000000000004</v>
      </c>
      <c r="G10">
        <f>C10*B10</f>
        <v>24</v>
      </c>
      <c r="H10">
        <f t="shared" si="3"/>
        <v>51.480000000000004</v>
      </c>
      <c r="I10">
        <f t="shared" si="4"/>
        <v>65.143200000000007</v>
      </c>
      <c r="J10">
        <f t="shared" si="5"/>
        <v>24</v>
      </c>
      <c r="K10">
        <f t="shared" si="6"/>
        <v>43.56</v>
      </c>
      <c r="L10">
        <f t="shared" si="7"/>
        <v>51</v>
      </c>
    </row>
    <row r="11" spans="1:12" x14ac:dyDescent="0.25">
      <c r="A11" t="s">
        <v>4</v>
      </c>
      <c r="B11">
        <v>2</v>
      </c>
      <c r="C11">
        <v>4</v>
      </c>
      <c r="D11">
        <f t="shared" si="0"/>
        <v>8</v>
      </c>
      <c r="E11">
        <f t="shared" si="1"/>
        <v>10.704000000000001</v>
      </c>
      <c r="F11">
        <f t="shared" si="2"/>
        <v>17.344000000000001</v>
      </c>
      <c r="G11">
        <f t="shared" si="8"/>
        <v>8</v>
      </c>
      <c r="H11">
        <f t="shared" si="3"/>
        <v>17.16</v>
      </c>
      <c r="I11">
        <f t="shared" si="4"/>
        <v>21.714400000000001</v>
      </c>
      <c r="J11">
        <f t="shared" si="5"/>
        <v>8</v>
      </c>
      <c r="K11">
        <f t="shared" si="6"/>
        <v>14.52</v>
      </c>
      <c r="L11">
        <f t="shared" si="7"/>
        <v>17</v>
      </c>
    </row>
    <row r="12" spans="1:12" x14ac:dyDescent="0.25">
      <c r="A12" t="s">
        <v>5</v>
      </c>
      <c r="B12">
        <v>2</v>
      </c>
      <c r="C12">
        <v>4</v>
      </c>
      <c r="D12">
        <f t="shared" si="0"/>
        <v>8</v>
      </c>
      <c r="E12">
        <f t="shared" si="1"/>
        <v>10.704000000000001</v>
      </c>
      <c r="F12">
        <f t="shared" si="2"/>
        <v>17.344000000000001</v>
      </c>
      <c r="G12">
        <f t="shared" si="8"/>
        <v>8</v>
      </c>
      <c r="H12">
        <f t="shared" si="3"/>
        <v>17.16</v>
      </c>
      <c r="I12">
        <f t="shared" si="4"/>
        <v>21.714400000000001</v>
      </c>
      <c r="J12">
        <f t="shared" si="5"/>
        <v>8</v>
      </c>
      <c r="K12">
        <f t="shared" si="6"/>
        <v>14.52</v>
      </c>
      <c r="L12">
        <f t="shared" si="7"/>
        <v>17</v>
      </c>
    </row>
    <row r="13" spans="1:12" x14ac:dyDescent="0.25">
      <c r="D13">
        <f t="shared" ref="D13:L13" si="9">SUM(D5:D12)</f>
        <v>150</v>
      </c>
      <c r="E13">
        <f t="shared" si="9"/>
        <v>200.70000000000002</v>
      </c>
      <c r="F13">
        <f t="shared" si="9"/>
        <v>325.2</v>
      </c>
      <c r="G13">
        <f t="shared" si="9"/>
        <v>175</v>
      </c>
      <c r="H13">
        <f t="shared" si="9"/>
        <v>375.37500000000006</v>
      </c>
      <c r="I13">
        <f t="shared" si="9"/>
        <v>475.00250000000005</v>
      </c>
      <c r="J13">
        <f t="shared" si="9"/>
        <v>160</v>
      </c>
      <c r="K13">
        <f t="shared" si="9"/>
        <v>290.39999999999998</v>
      </c>
      <c r="L13">
        <f t="shared" si="9"/>
        <v>340</v>
      </c>
    </row>
    <row r="15" spans="1:12" x14ac:dyDescent="0.25">
      <c r="D15" s="5" t="s">
        <v>10</v>
      </c>
      <c r="E15" s="5"/>
      <c r="F15" s="5"/>
      <c r="G15" s="5" t="s">
        <v>21</v>
      </c>
      <c r="H15" s="5"/>
      <c r="I15" s="5"/>
      <c r="J15" s="5" t="s">
        <v>11</v>
      </c>
      <c r="K15" s="5"/>
      <c r="L15" s="5"/>
    </row>
    <row r="16" spans="1:12" x14ac:dyDescent="0.25">
      <c r="A16" s="3" t="s">
        <v>43</v>
      </c>
      <c r="B16" s="3" t="s">
        <v>33</v>
      </c>
      <c r="C16" s="3" t="s">
        <v>34</v>
      </c>
      <c r="D16">
        <v>190</v>
      </c>
      <c r="E16">
        <v>325</v>
      </c>
      <c r="F16">
        <v>425</v>
      </c>
      <c r="G16">
        <v>210</v>
      </c>
      <c r="H16">
        <v>370</v>
      </c>
      <c r="I16">
        <v>500</v>
      </c>
      <c r="J16">
        <v>220</v>
      </c>
      <c r="K16">
        <v>380</v>
      </c>
      <c r="L16">
        <v>525</v>
      </c>
    </row>
    <row r="17" spans="1:12" x14ac:dyDescent="0.25">
      <c r="B17" t="s">
        <v>32</v>
      </c>
      <c r="C17" t="s">
        <v>31</v>
      </c>
      <c r="D17" t="s">
        <v>26</v>
      </c>
      <c r="E17" t="s">
        <v>35</v>
      </c>
      <c r="F17" t="s">
        <v>36</v>
      </c>
      <c r="G17" t="s">
        <v>26</v>
      </c>
      <c r="H17" t="s">
        <v>37</v>
      </c>
      <c r="I17" t="s">
        <v>38</v>
      </c>
      <c r="J17" t="s">
        <v>26</v>
      </c>
      <c r="K17" t="s">
        <v>39</v>
      </c>
      <c r="L17" t="s">
        <v>40</v>
      </c>
    </row>
    <row r="18" spans="1:12" ht="15.75" x14ac:dyDescent="0.25">
      <c r="A18" t="s">
        <v>0</v>
      </c>
      <c r="B18">
        <v>8</v>
      </c>
      <c r="C18" s="1">
        <v>5</v>
      </c>
      <c r="D18">
        <f>C18*B18</f>
        <v>40</v>
      </c>
      <c r="E18">
        <f>1.712*D18</f>
        <v>68.48</v>
      </c>
      <c r="F18">
        <f>2.24*D18</f>
        <v>89.600000000000009</v>
      </c>
      <c r="G18">
        <f>C18*B18</f>
        <v>40</v>
      </c>
      <c r="H18">
        <f>1.755*G18</f>
        <v>70.199999999999989</v>
      </c>
      <c r="I18">
        <f>2.383*G18</f>
        <v>95.32</v>
      </c>
      <c r="J18">
        <f>C18*B18</f>
        <v>40</v>
      </c>
      <c r="K18">
        <f>1.73*J18</f>
        <v>69.2</v>
      </c>
      <c r="L18">
        <f>2.39*J18</f>
        <v>95.600000000000009</v>
      </c>
    </row>
    <row r="19" spans="1:12" x14ac:dyDescent="0.25">
      <c r="A19" t="s">
        <v>1</v>
      </c>
      <c r="B19">
        <v>10</v>
      </c>
      <c r="C19">
        <v>5</v>
      </c>
      <c r="D19">
        <f t="shared" ref="D19:D27" si="10">C19*B19</f>
        <v>50</v>
      </c>
      <c r="E19">
        <f t="shared" ref="E19:E27" si="11">1.712*D19</f>
        <v>85.6</v>
      </c>
      <c r="F19">
        <f t="shared" ref="F19:F27" si="12">2.24*D19</f>
        <v>112.00000000000001</v>
      </c>
      <c r="G19">
        <f t="shared" ref="G19:G27" si="13">C19*B19</f>
        <v>50</v>
      </c>
      <c r="H19">
        <f t="shared" ref="H19:H27" si="14">1.755*G19</f>
        <v>87.75</v>
      </c>
      <c r="I19">
        <f t="shared" ref="I19:I27" si="15">2.383*G19</f>
        <v>119.15</v>
      </c>
      <c r="J19">
        <f t="shared" ref="J19:J27" si="16">C19*B19</f>
        <v>50</v>
      </c>
      <c r="K19">
        <f t="shared" ref="K19:K27" si="17">1.73*J19</f>
        <v>86.5</v>
      </c>
      <c r="L19">
        <f t="shared" ref="L19:L27" si="18">2.39*J19</f>
        <v>119.5</v>
      </c>
    </row>
    <row r="20" spans="1:12" x14ac:dyDescent="0.25">
      <c r="A20" t="s">
        <v>7</v>
      </c>
      <c r="B20">
        <v>5</v>
      </c>
      <c r="C20">
        <v>5</v>
      </c>
      <c r="D20">
        <f t="shared" si="10"/>
        <v>25</v>
      </c>
      <c r="E20">
        <f t="shared" si="11"/>
        <v>42.8</v>
      </c>
      <c r="F20">
        <f t="shared" si="12"/>
        <v>56.000000000000007</v>
      </c>
      <c r="G20">
        <f t="shared" si="13"/>
        <v>25</v>
      </c>
      <c r="H20">
        <f t="shared" si="14"/>
        <v>43.875</v>
      </c>
      <c r="I20">
        <f t="shared" si="15"/>
        <v>59.575000000000003</v>
      </c>
      <c r="J20">
        <f t="shared" si="16"/>
        <v>25</v>
      </c>
      <c r="K20">
        <f t="shared" si="17"/>
        <v>43.25</v>
      </c>
      <c r="L20">
        <f t="shared" si="18"/>
        <v>59.75</v>
      </c>
    </row>
    <row r="21" spans="1:12" x14ac:dyDescent="0.25">
      <c r="A21" t="s">
        <v>13</v>
      </c>
      <c r="B21">
        <v>3</v>
      </c>
      <c r="C21">
        <v>5</v>
      </c>
      <c r="D21">
        <f t="shared" si="10"/>
        <v>15</v>
      </c>
      <c r="E21">
        <f t="shared" si="11"/>
        <v>25.68</v>
      </c>
      <c r="F21">
        <f t="shared" si="12"/>
        <v>33.6</v>
      </c>
      <c r="G21">
        <f t="shared" si="13"/>
        <v>15</v>
      </c>
      <c r="H21">
        <f t="shared" si="14"/>
        <v>26.324999999999999</v>
      </c>
      <c r="I21">
        <f t="shared" si="15"/>
        <v>35.744999999999997</v>
      </c>
      <c r="J21">
        <f t="shared" si="16"/>
        <v>15</v>
      </c>
      <c r="K21">
        <f t="shared" si="17"/>
        <v>25.95</v>
      </c>
      <c r="L21">
        <f t="shared" si="18"/>
        <v>35.85</v>
      </c>
    </row>
    <row r="22" spans="1:12" x14ac:dyDescent="0.25">
      <c r="A22" t="s">
        <v>12</v>
      </c>
      <c r="B22">
        <v>2</v>
      </c>
      <c r="C22">
        <v>5</v>
      </c>
      <c r="D22">
        <v>0</v>
      </c>
      <c r="E22">
        <f t="shared" si="11"/>
        <v>0</v>
      </c>
      <c r="F22">
        <f t="shared" si="12"/>
        <v>0</v>
      </c>
      <c r="G22">
        <v>0</v>
      </c>
      <c r="H22">
        <f t="shared" si="14"/>
        <v>0</v>
      </c>
      <c r="I22">
        <f t="shared" si="15"/>
        <v>0</v>
      </c>
      <c r="J22">
        <f t="shared" si="16"/>
        <v>10</v>
      </c>
      <c r="K22">
        <f t="shared" si="17"/>
        <v>17.3</v>
      </c>
      <c r="L22">
        <f t="shared" si="18"/>
        <v>23.900000000000002</v>
      </c>
    </row>
    <row r="23" spans="1:12" x14ac:dyDescent="0.25">
      <c r="A23" t="s">
        <v>44</v>
      </c>
      <c r="B23">
        <v>4</v>
      </c>
      <c r="C23">
        <v>5</v>
      </c>
      <c r="D23">
        <v>0</v>
      </c>
      <c r="E23">
        <f t="shared" si="11"/>
        <v>0</v>
      </c>
      <c r="F23">
        <f t="shared" si="12"/>
        <v>0</v>
      </c>
      <c r="G23">
        <f t="shared" si="13"/>
        <v>20</v>
      </c>
      <c r="H23">
        <f t="shared" si="14"/>
        <v>35.099999999999994</v>
      </c>
      <c r="I23">
        <f t="shared" si="15"/>
        <v>47.66</v>
      </c>
      <c r="J23">
        <f t="shared" si="16"/>
        <v>20</v>
      </c>
      <c r="K23">
        <f t="shared" si="17"/>
        <v>34.6</v>
      </c>
      <c r="L23">
        <f t="shared" si="18"/>
        <v>47.800000000000004</v>
      </c>
    </row>
    <row r="24" spans="1:12" x14ac:dyDescent="0.25">
      <c r="A24" t="s">
        <v>2</v>
      </c>
      <c r="B24">
        <v>5</v>
      </c>
      <c r="C24">
        <v>4</v>
      </c>
      <c r="D24">
        <f t="shared" si="10"/>
        <v>20</v>
      </c>
      <c r="E24">
        <f t="shared" si="11"/>
        <v>34.24</v>
      </c>
      <c r="F24">
        <f t="shared" si="12"/>
        <v>44.800000000000004</v>
      </c>
      <c r="G24">
        <f t="shared" si="13"/>
        <v>20</v>
      </c>
      <c r="H24">
        <f t="shared" si="14"/>
        <v>35.099999999999994</v>
      </c>
      <c r="I24">
        <f t="shared" si="15"/>
        <v>47.66</v>
      </c>
      <c r="J24">
        <f t="shared" si="16"/>
        <v>20</v>
      </c>
      <c r="K24">
        <f t="shared" si="17"/>
        <v>34.6</v>
      </c>
      <c r="L24">
        <f t="shared" si="18"/>
        <v>47.800000000000004</v>
      </c>
    </row>
    <row r="25" spans="1:12" x14ac:dyDescent="0.25">
      <c r="A25" t="s">
        <v>3</v>
      </c>
      <c r="B25">
        <v>6</v>
      </c>
      <c r="C25">
        <v>4</v>
      </c>
      <c r="D25">
        <f t="shared" si="10"/>
        <v>24</v>
      </c>
      <c r="E25">
        <f t="shared" si="11"/>
        <v>41.088000000000001</v>
      </c>
      <c r="F25">
        <f t="shared" si="12"/>
        <v>53.760000000000005</v>
      </c>
      <c r="G25">
        <f t="shared" si="13"/>
        <v>24</v>
      </c>
      <c r="H25">
        <f t="shared" si="14"/>
        <v>42.12</v>
      </c>
      <c r="I25">
        <f t="shared" si="15"/>
        <v>57.192</v>
      </c>
      <c r="J25">
        <f t="shared" si="16"/>
        <v>24</v>
      </c>
      <c r="K25">
        <f t="shared" si="17"/>
        <v>41.519999999999996</v>
      </c>
      <c r="L25">
        <f t="shared" si="18"/>
        <v>57.36</v>
      </c>
    </row>
    <row r="26" spans="1:12" x14ac:dyDescent="0.25">
      <c r="A26" t="s">
        <v>4</v>
      </c>
      <c r="B26">
        <v>2</v>
      </c>
      <c r="C26">
        <v>4</v>
      </c>
      <c r="D26">
        <f t="shared" si="10"/>
        <v>8</v>
      </c>
      <c r="E26">
        <f t="shared" si="11"/>
        <v>13.696</v>
      </c>
      <c r="F26">
        <f t="shared" si="12"/>
        <v>17.920000000000002</v>
      </c>
      <c r="G26">
        <f t="shared" si="13"/>
        <v>8</v>
      </c>
      <c r="H26">
        <f t="shared" si="14"/>
        <v>14.04</v>
      </c>
      <c r="I26">
        <f t="shared" si="15"/>
        <v>19.064</v>
      </c>
      <c r="J26">
        <f t="shared" si="16"/>
        <v>8</v>
      </c>
      <c r="K26">
        <f t="shared" si="17"/>
        <v>13.84</v>
      </c>
      <c r="L26">
        <f t="shared" si="18"/>
        <v>19.12</v>
      </c>
    </row>
    <row r="27" spans="1:12" x14ac:dyDescent="0.25">
      <c r="A27" t="s">
        <v>5</v>
      </c>
      <c r="B27">
        <v>2</v>
      </c>
      <c r="C27">
        <v>4</v>
      </c>
      <c r="D27">
        <f t="shared" si="10"/>
        <v>8</v>
      </c>
      <c r="E27">
        <f t="shared" si="11"/>
        <v>13.696</v>
      </c>
      <c r="F27">
        <f t="shared" si="12"/>
        <v>17.920000000000002</v>
      </c>
      <c r="G27">
        <f t="shared" si="13"/>
        <v>8</v>
      </c>
      <c r="H27">
        <f t="shared" si="14"/>
        <v>14.04</v>
      </c>
      <c r="I27">
        <f t="shared" si="15"/>
        <v>19.064</v>
      </c>
      <c r="J27">
        <f t="shared" si="16"/>
        <v>8</v>
      </c>
      <c r="K27">
        <f t="shared" si="17"/>
        <v>13.84</v>
      </c>
      <c r="L27">
        <f t="shared" si="18"/>
        <v>19.12</v>
      </c>
    </row>
    <row r="28" spans="1:12" x14ac:dyDescent="0.25">
      <c r="D28">
        <f>SUM(D15:D27)</f>
        <v>380</v>
      </c>
      <c r="E28">
        <f>SUM(E15:E27)</f>
        <v>650.28</v>
      </c>
      <c r="F28">
        <f>SUM(F15:F27)</f>
        <v>850.59999999999991</v>
      </c>
      <c r="G28">
        <f t="shared" ref="G28:L28" si="19">SUM(G17:G27)</f>
        <v>210</v>
      </c>
      <c r="H28">
        <f t="shared" si="19"/>
        <v>368.55000000000007</v>
      </c>
      <c r="I28">
        <f t="shared" si="19"/>
        <v>500.43000000000006</v>
      </c>
      <c r="J28">
        <f t="shared" si="19"/>
        <v>220</v>
      </c>
      <c r="K28">
        <f t="shared" si="19"/>
        <v>380.59999999999997</v>
      </c>
      <c r="L28">
        <f t="shared" si="19"/>
        <v>525.80000000000007</v>
      </c>
    </row>
    <row r="30" spans="1:12" x14ac:dyDescent="0.25">
      <c r="A30" s="3" t="s">
        <v>41</v>
      </c>
    </row>
    <row r="31" spans="1:12" x14ac:dyDescent="0.25">
      <c r="A31" s="3" t="s">
        <v>43</v>
      </c>
      <c r="B31" s="3" t="s">
        <v>33</v>
      </c>
      <c r="C31" s="3" t="s">
        <v>34</v>
      </c>
    </row>
    <row r="32" spans="1:12" x14ac:dyDescent="0.25">
      <c r="B32" t="s">
        <v>32</v>
      </c>
      <c r="C32" t="s">
        <v>31</v>
      </c>
    </row>
    <row r="33" spans="1:4" x14ac:dyDescent="0.25">
      <c r="A33" t="s">
        <v>15</v>
      </c>
      <c r="B33">
        <v>4</v>
      </c>
      <c r="C33">
        <v>5</v>
      </c>
      <c r="D33">
        <f>C33*B33</f>
        <v>20</v>
      </c>
    </row>
    <row r="34" spans="1:4" x14ac:dyDescent="0.25">
      <c r="A34" t="s">
        <v>16</v>
      </c>
      <c r="B34">
        <v>5</v>
      </c>
      <c r="C34">
        <v>5</v>
      </c>
      <c r="D34">
        <f>C34*B34</f>
        <v>25</v>
      </c>
    </row>
    <row r="35" spans="1:4" x14ac:dyDescent="0.25">
      <c r="A35" t="s">
        <v>17</v>
      </c>
      <c r="B35">
        <v>5</v>
      </c>
      <c r="C35">
        <v>7</v>
      </c>
      <c r="D35">
        <f t="shared" ref="D35:D46" si="20">C35*B35</f>
        <v>35</v>
      </c>
    </row>
    <row r="36" spans="1:4" x14ac:dyDescent="0.25">
      <c r="A36" t="s">
        <v>18</v>
      </c>
      <c r="B36">
        <v>5</v>
      </c>
      <c r="C36">
        <v>6</v>
      </c>
      <c r="D36">
        <f t="shared" si="20"/>
        <v>30</v>
      </c>
    </row>
    <row r="37" spans="1:4" x14ac:dyDescent="0.25">
      <c r="A37" t="s">
        <v>19</v>
      </c>
      <c r="B37">
        <v>5</v>
      </c>
      <c r="C37">
        <v>7</v>
      </c>
      <c r="D37">
        <f t="shared" si="20"/>
        <v>35</v>
      </c>
    </row>
    <row r="38" spans="1:4" x14ac:dyDescent="0.25">
      <c r="A38" t="s">
        <v>20</v>
      </c>
      <c r="B38">
        <v>2</v>
      </c>
      <c r="C38">
        <v>5</v>
      </c>
      <c r="D38">
        <f t="shared" si="20"/>
        <v>10</v>
      </c>
    </row>
    <row r="39" spans="1:4" x14ac:dyDescent="0.25">
      <c r="D39">
        <f t="shared" si="20"/>
        <v>0</v>
      </c>
    </row>
    <row r="40" spans="1:4" x14ac:dyDescent="0.25">
      <c r="A40" t="s">
        <v>21</v>
      </c>
      <c r="B40">
        <v>5</v>
      </c>
      <c r="C40">
        <v>7</v>
      </c>
      <c r="D40">
        <f t="shared" si="20"/>
        <v>35</v>
      </c>
    </row>
    <row r="41" spans="1:4" x14ac:dyDescent="0.25">
      <c r="A41" t="s">
        <v>22</v>
      </c>
      <c r="B41">
        <v>5</v>
      </c>
      <c r="C41">
        <v>9</v>
      </c>
      <c r="D41">
        <f t="shared" si="20"/>
        <v>45</v>
      </c>
    </row>
    <row r="42" spans="1:4" x14ac:dyDescent="0.25">
      <c r="A42" t="s">
        <v>23</v>
      </c>
      <c r="B42">
        <v>5</v>
      </c>
      <c r="C42">
        <v>8</v>
      </c>
      <c r="D42">
        <f t="shared" si="20"/>
        <v>40</v>
      </c>
    </row>
    <row r="43" spans="1:4" ht="16.5" x14ac:dyDescent="0.25">
      <c r="A43" s="2"/>
    </row>
    <row r="44" spans="1:4" x14ac:dyDescent="0.25">
      <c r="A44" s="3" t="s">
        <v>42</v>
      </c>
      <c r="D44">
        <f t="shared" si="20"/>
        <v>0</v>
      </c>
    </row>
    <row r="45" spans="1:4" x14ac:dyDescent="0.25">
      <c r="A45" t="s">
        <v>24</v>
      </c>
      <c r="B45">
        <v>5.5</v>
      </c>
      <c r="C45">
        <v>10</v>
      </c>
      <c r="D45">
        <f t="shared" si="20"/>
        <v>55</v>
      </c>
    </row>
    <row r="46" spans="1:4" x14ac:dyDescent="0.25">
      <c r="A46" t="s">
        <v>25</v>
      </c>
      <c r="B46">
        <v>9</v>
      </c>
      <c r="C46">
        <v>10</v>
      </c>
      <c r="D46">
        <f t="shared" si="20"/>
        <v>90</v>
      </c>
    </row>
  </sheetData>
  <mergeCells count="6">
    <mergeCell ref="D2:F2"/>
    <mergeCell ref="G2:I2"/>
    <mergeCell ref="J2:L2"/>
    <mergeCell ref="D15:F15"/>
    <mergeCell ref="G15:I15"/>
    <mergeCell ref="J15:L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Derivation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 Billa</dc:creator>
  <cp:lastModifiedBy>Balakrishna Billa</cp:lastModifiedBy>
  <dcterms:created xsi:type="dcterms:W3CDTF">2019-06-04T04:47:35Z</dcterms:created>
  <dcterms:modified xsi:type="dcterms:W3CDTF">2019-06-11T11:41:54Z</dcterms:modified>
</cp:coreProperties>
</file>